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Transitionmatrix" sheetId="2" r:id="rId6"/>
    <sheet state="visible" name="Markov trace" sheetId="3" r:id="rId7"/>
    <sheet state="visible" name="Cost_qualy" sheetId="4" r:id="rId8"/>
    <sheet state="visible" name="new therapy result" sheetId="5" r:id="rId9"/>
    <sheet state="visible" name="Incremental cost" sheetId="6" r:id="rId10"/>
  </sheets>
  <definedNames>
    <definedName name="transition">Transitionmatrix!$E$6:$G$8</definedName>
    <definedName name="Costmatrix">Cost_qualy!$C$6:$C$8</definedName>
    <definedName name="qualy">Cost_qualy!$D$6:$D$8</definedName>
  </definedNames>
  <calcPr/>
</workbook>
</file>

<file path=xl/sharedStrings.xml><?xml version="1.0" encoding="utf-8"?>
<sst xmlns="http://schemas.openxmlformats.org/spreadsheetml/2006/main" count="91" uniqueCount="74">
  <si>
    <t>PARAMETERS</t>
  </si>
  <si>
    <t>VALUES</t>
  </si>
  <si>
    <t>Cohort size</t>
  </si>
  <si>
    <t>Time horizon (years)</t>
  </si>
  <si>
    <t>Cost</t>
  </si>
  <si>
    <t>STATE</t>
  </si>
  <si>
    <t>COST (per year)</t>
  </si>
  <si>
    <t>UTILITIES</t>
  </si>
  <si>
    <t>Healthy</t>
  </si>
  <si>
    <t>Complication</t>
  </si>
  <si>
    <t>Death</t>
  </si>
  <si>
    <t>Drug cost (new therapy)</t>
  </si>
  <si>
    <t>$(per year)</t>
  </si>
  <si>
    <t>Drug cost (standard therapy)</t>
  </si>
  <si>
    <t xml:space="preserve"> Transition Probability Matrix (P)</t>
  </si>
  <si>
    <t>To/ From</t>
  </si>
  <si>
    <t>Heathy</t>
  </si>
  <si>
    <t>Important rule:
Each row must sum to 1.</t>
  </si>
  <si>
    <t>Markov Update formula</t>
  </si>
  <si>
    <t>Cycle (S_t)</t>
  </si>
  <si>
    <t>S_(t+1) = S_t * P</t>
  </si>
  <si>
    <t>S_0</t>
  </si>
  <si>
    <t>Cost Vector</t>
  </si>
  <si>
    <t>States</t>
  </si>
  <si>
    <t>Cost (C)</t>
  </si>
  <si>
    <t>Utitlies (U)</t>
  </si>
  <si>
    <t>Cost_t = S_t * C</t>
  </si>
  <si>
    <t>U_t = S_t * U</t>
  </si>
  <si>
    <t xml:space="preserve"> Cycle</t>
  </si>
  <si>
    <t>Cost per cycle</t>
  </si>
  <si>
    <t>QALY per cycle</t>
  </si>
  <si>
    <t xml:space="preserve">Average QALY per patient = Total QALY / cohort size </t>
  </si>
  <si>
    <t>Interpretation</t>
  </si>
  <si>
    <t>One patient receiving the treatment experiences 10.16 years of perfect-health equivalent life over the 10-year horizon.</t>
  </si>
  <si>
    <t xml:space="preserve">Average COST per patient = Total COST / cohort size </t>
  </si>
  <si>
    <t>Total</t>
  </si>
  <si>
    <t>Strategy</t>
  </si>
  <si>
    <t>Total Cost</t>
  </si>
  <si>
    <t>Total QALY</t>
  </si>
  <si>
    <t>New Therapy  Cost Calculations</t>
  </si>
  <si>
    <t>Standard Therapy</t>
  </si>
  <si>
    <t>Cost = Healthy state cost + complication state cost + drug cost</t>
  </si>
  <si>
    <t>New Therapy</t>
  </si>
  <si>
    <t xml:space="preserve">
Interpretation:
Standard therapy costs $40,200 per patient. Standard therapy gives 10.1 uality-adjusted life years                
New therapy costs $62,200 per patient. New therapy gives 11.1 quality-adjusted life years		
So the new therapy is more expensive and improves health outcomes.</t>
  </si>
  <si>
    <t>Step 1: Heatlhy State Cost</t>
  </si>
  <si>
    <t xml:space="preserve">Healthy total patient-years: </t>
  </si>
  <si>
    <t>patients  year</t>
  </si>
  <si>
    <t xml:space="preserve">Now divide by cohort size  </t>
  </si>
  <si>
    <t>approx 9 years controlled</t>
  </si>
  <si>
    <t>Complication total patient- years</t>
  </si>
  <si>
    <t>Now divide by cohort size                        approx 9 years controlled year</t>
  </si>
  <si>
    <t>approx 5 years complicatioon</t>
  </si>
  <si>
    <t>Step 2 : Calculate QALY</t>
  </si>
  <si>
    <t xml:space="preserve">QALY : </t>
  </si>
  <si>
    <t>Step 3: New therapy cost</t>
  </si>
  <si>
    <t>Drug cost =</t>
  </si>
  <si>
    <t>healthy state cost =</t>
  </si>
  <si>
    <t>Complication state cost =</t>
  </si>
  <si>
    <t>Total =</t>
  </si>
  <si>
    <t xml:space="preserve">Step 4 : standard therapy cost </t>
  </si>
  <si>
    <t>i</t>
  </si>
  <si>
    <t>Incremental Comparison</t>
  </si>
  <si>
    <t>Incremental cost</t>
  </si>
  <si>
    <t>Incremental QALY</t>
  </si>
  <si>
    <t>Now we calculate the Incremental Cost-Effectiveness Ratio (ICER).</t>
  </si>
  <si>
    <t xml:space="preserve">ICER </t>
  </si>
  <si>
    <t>ICER is 23517.4 $ per QALY</t>
  </si>
  <si>
    <t>Final Interpretation (Very Important)</t>
  </si>
  <si>
    <t>The new therapy increases health benefits from 10.16 to 11.1 QALYs but increases cost from $45,000 to $57,000. The incremental cost-effectiveness ratio is $23517.4 per QALY, indicating that the new therapy provides additional health benefits at an additional cost</t>
  </si>
  <si>
    <t>Decision makers then compare this ICER to a willingness-to-pay threshold.</t>
  </si>
  <si>
    <t>For example:</t>
  </si>
  <si>
    <t>If threshold = $50,000/QALY</t>
  </si>
  <si>
    <t>ICER = $23517.45/QALY</t>
  </si>
  <si>
    <t>The new therapy is considered cost-effective.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</si>
</sst>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sz val="15.0"/>
      <color rgb="FF980000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  <font>
      <b/>
      <sz val="16.0"/>
      <color rgb="FFA61C00"/>
      <name val="Arial"/>
      <scheme val="minor"/>
    </font>
    <font>
      <b/>
      <sz val="20.0"/>
      <color theme="1"/>
      <name val="Arial"/>
      <scheme val="minor"/>
    </font>
    <font>
      <b/>
      <sz val="20.0"/>
      <color rgb="FFCC0000"/>
      <name val="Arial"/>
      <scheme val="minor"/>
    </font>
    <font>
      <color rgb="FFCC0000"/>
      <name val="Arial"/>
      <scheme val="minor"/>
    </font>
    <font>
      <b/>
      <sz val="19.0"/>
      <color theme="1"/>
      <name val="Arial"/>
      <scheme val="minor"/>
    </font>
    <font>
      <sz val="19.0"/>
      <color theme="1"/>
      <name val="Arial"/>
      <scheme val="minor"/>
    </font>
    <font>
      <b/>
      <sz val="21.0"/>
      <color rgb="FF85200C"/>
      <name val="Arial"/>
      <scheme val="minor"/>
    </font>
    <font>
      <b/>
      <sz val="22.0"/>
      <color rgb="FF660000"/>
      <name val="Arial"/>
      <scheme val="minor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  <font>
      <b/>
      <sz val="22.0"/>
      <color rgb="FFCC4125"/>
      <name val="Arial"/>
      <scheme val="minor"/>
    </font>
    <font/>
    <font>
      <sz val="18.0"/>
      <color rgb="FF000000"/>
      <name val="Arial"/>
      <scheme val="minor"/>
    </font>
    <font>
      <b/>
      <sz val="19.0"/>
      <color rgb="FF000000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b/>
      <sz val="24.0"/>
      <color theme="1"/>
      <name val="Arial"/>
      <scheme val="minor"/>
    </font>
    <font>
      <b/>
      <sz val="14.0"/>
      <color rgb="FFCC4125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6" numFmtId="0" xfId="0" applyBorder="1" applyFont="1"/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  <xf borderId="0" fillId="2" fontId="9" numFmtId="0" xfId="0" applyAlignment="1" applyFill="1" applyFont="1">
      <alignment horizontal="center" readingOrder="0"/>
    </xf>
    <xf borderId="0" fillId="2" fontId="10" numFmtId="0" xfId="0" applyFont="1"/>
    <xf borderId="1" fillId="3" fontId="11" numFmtId="0" xfId="0" applyAlignment="1" applyBorder="1" applyFill="1" applyFont="1">
      <alignment horizontal="center" readingOrder="0"/>
    </xf>
    <xf borderId="1" fillId="3" fontId="11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3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0" fillId="0" fontId="13" numFmtId="0" xfId="0" applyAlignment="1" applyFont="1">
      <alignment readingOrder="0"/>
    </xf>
    <xf borderId="0" fillId="2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6" numFmtId="0" xfId="0" applyFont="1"/>
    <xf borderId="0" fillId="0" fontId="17" numFmtId="0" xfId="0" applyAlignment="1" applyFont="1">
      <alignment readingOrder="0"/>
    </xf>
    <xf borderId="1" fillId="4" fontId="18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shrinkToFit="0" vertical="center" wrapText="0"/>
    </xf>
    <xf borderId="0" fillId="0" fontId="6" numFmtId="0" xfId="0" applyFont="1"/>
    <xf borderId="2" fillId="2" fontId="15" numFmtId="0" xfId="0" applyAlignment="1" applyBorder="1" applyFont="1">
      <alignment readingOrder="0"/>
    </xf>
    <xf borderId="3" fillId="0" fontId="19" numFmtId="0" xfId="0" applyBorder="1" applyFont="1"/>
    <xf borderId="0" fillId="2" fontId="11" numFmtId="0" xfId="0" applyAlignment="1" applyFont="1">
      <alignment readingOrder="0"/>
    </xf>
    <xf borderId="0" fillId="2" fontId="6" numFmtId="0" xfId="0" applyFont="1"/>
    <xf borderId="2" fillId="2" fontId="15" numFmtId="0" xfId="0" applyAlignment="1" applyBorder="1" applyFont="1">
      <alignment horizontal="center"/>
    </xf>
    <xf borderId="0" fillId="5" fontId="20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5" fontId="5" numFmtId="0" xfId="0" applyAlignment="1" applyFont="1">
      <alignment horizontal="center"/>
    </xf>
    <xf borderId="0" fillId="6" fontId="21" numFmtId="0" xfId="0" applyAlignment="1" applyFill="1" applyFont="1">
      <alignment horizontal="center" readingOrder="0"/>
    </xf>
    <xf borderId="0" fillId="6" fontId="21" numFmtId="0" xfId="0" applyAlignment="1" applyFont="1">
      <alignment horizontal="center"/>
    </xf>
    <xf borderId="0" fillId="7" fontId="21" numFmtId="0" xfId="0" applyAlignment="1" applyFill="1" applyFont="1">
      <alignment horizontal="center"/>
    </xf>
    <xf borderId="0" fillId="5" fontId="15" numFmtId="0" xfId="0" applyAlignment="1" applyFont="1">
      <alignment horizontal="center" readingOrder="0"/>
    </xf>
    <xf borderId="1" fillId="2" fontId="22" numFmtId="0" xfId="0" applyAlignment="1" applyBorder="1" applyFont="1">
      <alignment readingOrder="0"/>
    </xf>
    <xf borderId="1" fillId="0" fontId="4" numFmtId="0" xfId="0" applyBorder="1" applyFont="1"/>
    <xf borderId="0" fillId="5" fontId="15" numFmtId="0" xfId="0" applyAlignment="1" applyFont="1">
      <alignment readingOrder="0"/>
    </xf>
    <xf borderId="0" fillId="8" fontId="4" numFmtId="0" xfId="0" applyAlignment="1" applyFill="1" applyFont="1">
      <alignment readingOrder="0"/>
    </xf>
    <xf borderId="0" fillId="7" fontId="4" numFmtId="0" xfId="0" applyAlignment="1" applyFont="1">
      <alignment readingOrder="0"/>
    </xf>
    <xf borderId="0" fillId="9" fontId="16" numFmtId="0" xfId="0" applyAlignment="1" applyFill="1" applyFont="1">
      <alignment readingOrder="0"/>
    </xf>
    <xf borderId="0" fillId="7" fontId="4" numFmtId="0" xfId="0" applyFont="1"/>
    <xf borderId="0" fillId="0" fontId="16" numFmtId="0" xfId="0" applyAlignment="1" applyFont="1">
      <alignment readingOrder="0"/>
    </xf>
    <xf borderId="0" fillId="3" fontId="16" numFmtId="0" xfId="0" applyAlignment="1" applyFont="1">
      <alignment readingOrder="0"/>
    </xf>
    <xf borderId="0" fillId="3" fontId="17" numFmtId="0" xfId="0" applyAlignment="1" applyFont="1">
      <alignment horizontal="center" readingOrder="0"/>
    </xf>
    <xf borderId="0" fillId="0" fontId="23" numFmtId="0" xfId="0" applyFont="1"/>
    <xf borderId="0" fillId="6" fontId="15" numFmtId="0" xfId="0" applyAlignment="1" applyFont="1">
      <alignment readingOrder="0"/>
    </xf>
    <xf borderId="0" fillId="6" fontId="15" numFmtId="0" xfId="0" applyFont="1"/>
    <xf borderId="0" fillId="6" fontId="6" numFmtId="0" xfId="0" applyFont="1"/>
    <xf borderId="0" fillId="10" fontId="22" numFmtId="0" xfId="0" applyAlignment="1" applyFill="1" applyFont="1">
      <alignment readingOrder="0"/>
    </xf>
    <xf borderId="0" fillId="10" fontId="22" numFmtId="0" xfId="0" applyFont="1"/>
    <xf borderId="0" fillId="11" fontId="17" numFmtId="0" xfId="0" applyAlignment="1" applyFill="1" applyFont="1">
      <alignment readingOrder="0"/>
    </xf>
    <xf borderId="0" fillId="11" fontId="6" numFmtId="0" xfId="0" applyFont="1"/>
    <xf borderId="0" fillId="0" fontId="24" numFmtId="0" xfId="0" applyAlignment="1" applyFont="1">
      <alignment readingOrder="0"/>
    </xf>
    <xf borderId="0" fillId="0" fontId="24" numFmtId="0" xfId="0" applyFont="1"/>
    <xf borderId="0" fillId="0" fontId="25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2" numFmtId="0" xfId="0" applyFont="1"/>
    <xf borderId="0" fillId="11" fontId="1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arkov tra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st_qual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A61C00"/>
                </a:solidFill>
                <a:latin typeface="+mn-lt"/>
              </a:defRPr>
            </a:pPr>
            <a:r>
              <a:rPr b="1" sz="3000">
                <a:solidFill>
                  <a:srgbClr val="A61C00"/>
                </a:solidFill>
                <a:latin typeface="+mn-lt"/>
              </a:rPr>
              <a:t>Disease progression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Healthy</c:v>
          </c:tx>
          <c:spPr>
            <a:ln cmpd="sng" w="38100">
              <a:solidFill>
                <a:schemeClr val="accent4"/>
              </a:solidFill>
            </a:ln>
          </c:spPr>
          <c:marker>
            <c:symbol val="none"/>
          </c:marker>
          <c:cat>
            <c:strRef>
              <c:f>'Markov trace'!$B$6:$B$26</c:f>
            </c:strRef>
          </c:cat>
          <c:val>
            <c:numRef>
              <c:f>'Markov trace'!$C$6:$C$26</c:f>
              <c:numCache/>
            </c:numRef>
          </c:val>
          <c:smooth val="0"/>
        </c:ser>
        <c:ser>
          <c:idx val="1"/>
          <c:order val="1"/>
          <c:tx>
            <c:v>Complication</c:v>
          </c:tx>
          <c:spPr>
            <a:ln cmpd="sng" w="38100">
              <a:solidFill>
                <a:srgbClr val="A61C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'Markov trace'!$B$6:$B$26</c:f>
            </c:strRef>
          </c:cat>
          <c:val>
            <c:numRef>
              <c:f>'Markov trace'!$D$6:$D$26</c:f>
              <c:numCache/>
            </c:numRef>
          </c:val>
          <c:smooth val="0"/>
        </c:ser>
        <c:ser>
          <c:idx val="2"/>
          <c:order val="2"/>
          <c:tx>
            <c:v>Death</c:v>
          </c:tx>
          <c:spPr>
            <a:ln cmpd="sng" w="38100">
              <a:solidFill>
                <a:srgbClr val="1155C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'Markov trace'!$B$6:$B$26</c:f>
            </c:strRef>
          </c:cat>
          <c:val>
            <c:numRef>
              <c:f>'Markov trace'!$E$6:$E$26</c:f>
              <c:numCache/>
            </c:numRef>
          </c:val>
          <c:smooth val="0"/>
        </c:ser>
        <c:axId val="1319019066"/>
        <c:axId val="323965386"/>
      </c:lineChart>
      <c:catAx>
        <c:axId val="1319019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3000">
                    <a:solidFill>
                      <a:srgbClr val="000000"/>
                    </a:solidFill>
                    <a:latin typeface="+mn-lt"/>
                  </a:rPr>
                  <a:t>Years (Cycles)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323965386"/>
      </c:catAx>
      <c:valAx>
        <c:axId val="323965386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sz="3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3000">
                    <a:solidFill>
                      <a:srgbClr val="000000"/>
                    </a:solidFill>
                    <a:latin typeface="+mn-lt"/>
                  </a:rPr>
                  <a:t>Number of patients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1319019066"/>
      </c:valAx>
    </c:plotArea>
    <c:legend>
      <c:legendPos val="t"/>
      <c:legendEntry>
        <c:idx val="0"/>
        <c:txPr>
          <a:bodyPr/>
          <a:lstStyle/>
          <a:p>
            <a:pPr lvl="0">
              <a:defRPr sz="1600"/>
            </a:pPr>
          </a:p>
        </c:txPr>
      </c:legendEntry>
      <c:overlay val="0"/>
      <c:txPr>
        <a:bodyPr/>
        <a:lstStyle/>
        <a:p>
          <a:pPr lvl="0">
            <a:defRPr b="0" sz="2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10</xdr:row>
      <xdr:rowOff>85725</xdr:rowOff>
    </xdr:from>
    <xdr:ext cx="10639425" cy="8258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E26" displayName="Table1" name="Table1" id="1">
  <tableColumns count="4">
    <tableColumn name="Cycle (S_t)" id="1"/>
    <tableColumn name="Healthy" id="2"/>
    <tableColumn name="Complication" id="3"/>
    <tableColumn name="Death" id="4"/>
  </tableColumns>
  <tableStyleInfo name="Markov trace-style" showColumnStripes="0" showFirstColumn="1" showLastColumn="1" showRowStripes="1"/>
</table>
</file>

<file path=xl/tables/table2.xml><?xml version="1.0" encoding="utf-8"?>
<table xmlns="http://schemas.openxmlformats.org/spreadsheetml/2006/main" ref="B10:D31" displayName="Table2" name="Table2" id="2">
  <tableColumns count="3">
    <tableColumn name=" Cycle" id="1"/>
    <tableColumn name="Cost per cycle" id="2"/>
    <tableColumn name="QALY per cycle" id="3"/>
  </tableColumns>
  <tableStyleInfo name="Cost_qua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25"/>
    <col customWidth="1" min="3" max="3" width="5.63"/>
    <col customWidth="1" min="4" max="4" width="28.13"/>
    <col customWidth="1" min="5" max="5" width="23.0"/>
  </cols>
  <sheetData>
    <row r="1">
      <c r="A1" s="1"/>
    </row>
    <row r="2">
      <c r="B2" s="2" t="s">
        <v>0</v>
      </c>
      <c r="D2" s="2" t="s">
        <v>1</v>
      </c>
    </row>
    <row r="4">
      <c r="B4" s="3" t="s">
        <v>2</v>
      </c>
      <c r="D4" s="4">
        <v>1000.0</v>
      </c>
    </row>
    <row r="5">
      <c r="B5" s="5"/>
      <c r="D5" s="6"/>
    </row>
    <row r="6">
      <c r="B6" s="3" t="s">
        <v>3</v>
      </c>
      <c r="D6" s="4">
        <v>20.0</v>
      </c>
    </row>
    <row r="9">
      <c r="B9" s="4" t="s">
        <v>4</v>
      </c>
    </row>
    <row r="11">
      <c r="B11" s="7" t="s">
        <v>5</v>
      </c>
      <c r="C11" s="8"/>
      <c r="D11" s="7" t="s">
        <v>6</v>
      </c>
      <c r="E11" s="7" t="s">
        <v>7</v>
      </c>
    </row>
    <row r="12">
      <c r="B12" s="9"/>
      <c r="C12" s="9"/>
      <c r="D12" s="9"/>
      <c r="E12" s="9"/>
    </row>
    <row r="13">
      <c r="B13" s="10" t="s">
        <v>8</v>
      </c>
      <c r="C13" s="9"/>
      <c r="D13" s="11">
        <v>800.0</v>
      </c>
      <c r="E13" s="11">
        <v>0.9</v>
      </c>
    </row>
    <row r="14">
      <c r="B14" s="10" t="s">
        <v>9</v>
      </c>
      <c r="C14" s="9"/>
      <c r="D14" s="11">
        <v>5000.0</v>
      </c>
      <c r="E14" s="11">
        <v>0.6</v>
      </c>
    </row>
    <row r="15">
      <c r="B15" s="10" t="s">
        <v>10</v>
      </c>
      <c r="C15" s="9"/>
      <c r="D15" s="11">
        <v>0.0</v>
      </c>
      <c r="E15" s="11">
        <v>0.0</v>
      </c>
    </row>
    <row r="18">
      <c r="B18" s="10" t="s">
        <v>11</v>
      </c>
      <c r="D18" s="11">
        <v>1500.0</v>
      </c>
      <c r="E18" s="12" t="s">
        <v>12</v>
      </c>
    </row>
    <row r="19">
      <c r="B19" s="10" t="s">
        <v>13</v>
      </c>
      <c r="D19" s="11">
        <v>400.0</v>
      </c>
      <c r="E19" s="1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0"/>
    <col customWidth="1" min="5" max="5" width="49.5"/>
    <col customWidth="1" min="6" max="6" width="35.38"/>
    <col customWidth="1" min="7" max="7" width="31.38"/>
  </cols>
  <sheetData>
    <row r="2">
      <c r="C2" s="13" t="s">
        <v>14</v>
      </c>
      <c r="H2" s="14"/>
      <c r="I2" s="14"/>
      <c r="J2" s="14"/>
    </row>
    <row r="4">
      <c r="C4" s="15" t="s">
        <v>15</v>
      </c>
      <c r="D4" s="16"/>
      <c r="E4" s="15" t="s">
        <v>16</v>
      </c>
      <c r="F4" s="15" t="s">
        <v>9</v>
      </c>
      <c r="G4" s="15" t="s">
        <v>10</v>
      </c>
    </row>
    <row r="5">
      <c r="C5" s="17"/>
      <c r="D5" s="17"/>
      <c r="E5" s="17"/>
      <c r="F5" s="17"/>
      <c r="G5" s="17"/>
    </row>
    <row r="6">
      <c r="C6" s="18" t="s">
        <v>8</v>
      </c>
      <c r="D6" s="17"/>
      <c r="E6" s="19">
        <v>0.9</v>
      </c>
      <c r="F6" s="19">
        <v>0.08</v>
      </c>
      <c r="G6" s="19">
        <v>0.02</v>
      </c>
    </row>
    <row r="7">
      <c r="C7" s="18" t="s">
        <v>9</v>
      </c>
      <c r="D7" s="17"/>
      <c r="E7" s="19">
        <v>0.0</v>
      </c>
      <c r="F7" s="19">
        <v>0.9</v>
      </c>
      <c r="G7" s="19">
        <v>0.1</v>
      </c>
    </row>
    <row r="8">
      <c r="C8" s="18" t="s">
        <v>10</v>
      </c>
      <c r="D8" s="17"/>
      <c r="E8" s="19">
        <v>0.0</v>
      </c>
      <c r="F8" s="19">
        <v>0.0</v>
      </c>
      <c r="G8" s="19">
        <v>1.0</v>
      </c>
    </row>
    <row r="12">
      <c r="C12" s="20" t="s">
        <v>17</v>
      </c>
    </row>
  </sheetData>
  <mergeCells count="2">
    <mergeCell ref="C2:G2"/>
    <mergeCell ref="C12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7.88"/>
    <col customWidth="1" min="4" max="4" width="36.88"/>
    <col customWidth="1" min="5" max="5" width="30.88"/>
    <col customWidth="1" min="8" max="8" width="44.25"/>
  </cols>
  <sheetData>
    <row r="2">
      <c r="C2" s="21" t="s">
        <v>18</v>
      </c>
    </row>
    <row r="4" ht="22.5" customHeight="1">
      <c r="B4" s="22" t="s">
        <v>19</v>
      </c>
      <c r="C4" s="22" t="s">
        <v>8</v>
      </c>
      <c r="D4" s="22" t="s">
        <v>9</v>
      </c>
      <c r="E4" s="22" t="s">
        <v>10</v>
      </c>
      <c r="H4" s="23" t="s">
        <v>20</v>
      </c>
    </row>
    <row r="5" ht="22.5" customHeight="1"/>
    <row r="6" ht="22.5" customHeight="1">
      <c r="A6" s="12" t="s">
        <v>21</v>
      </c>
      <c r="B6" s="24">
        <v>0.0</v>
      </c>
      <c r="C6" s="24">
        <v>1000.0</v>
      </c>
      <c r="D6" s="24">
        <v>0.0</v>
      </c>
      <c r="E6" s="24">
        <v>0.0</v>
      </c>
    </row>
    <row r="7" ht="22.5" customHeight="1">
      <c r="B7" s="25">
        <f t="array" ref="B7:B26">SEQUENCE(20,1)</f>
        <v>1</v>
      </c>
      <c r="C7" s="25">
        <f t="array" ref="C7:E7">MMULT(C6:E6,transition)</f>
        <v>900</v>
      </c>
      <c r="D7" s="25">
        <v>80.0</v>
      </c>
      <c r="E7" s="25">
        <v>20.0</v>
      </c>
    </row>
    <row r="8" ht="22.5" customHeight="1">
      <c r="B8" s="25">
        <v>2.0</v>
      </c>
      <c r="C8" s="25">
        <f t="array" ref="C8:E8">MMULT(C7:E7,transition)</f>
        <v>810</v>
      </c>
      <c r="D8" s="25">
        <v>144.0</v>
      </c>
      <c r="E8" s="25">
        <v>46.0</v>
      </c>
    </row>
    <row r="9" ht="22.5" customHeight="1">
      <c r="B9" s="25">
        <v>3.0</v>
      </c>
      <c r="C9" s="25">
        <f t="array" ref="C9:E9">MMULT(C8:E8,transition)</f>
        <v>729</v>
      </c>
      <c r="D9" s="25">
        <v>194.39999999999998</v>
      </c>
      <c r="E9" s="25">
        <v>76.6</v>
      </c>
    </row>
    <row r="10" ht="22.5" customHeight="1">
      <c r="B10" s="25">
        <v>4.0</v>
      </c>
      <c r="C10" s="25">
        <f t="array" ref="C10:E10">MMULT(C9:E9,transition)</f>
        <v>656.1</v>
      </c>
      <c r="D10" s="25">
        <v>233.27999999999997</v>
      </c>
      <c r="E10" s="25">
        <v>110.61999999999999</v>
      </c>
      <c r="H10" s="26"/>
    </row>
    <row r="11" ht="22.5" customHeight="1">
      <c r="B11" s="25">
        <v>5.0</v>
      </c>
      <c r="C11" s="25">
        <f t="array" ref="C11:E11">MMULT(C10:E10,transition)</f>
        <v>590.49</v>
      </c>
      <c r="D11" s="25">
        <v>262.43999999999994</v>
      </c>
      <c r="E11" s="25">
        <v>147.07</v>
      </c>
    </row>
    <row r="12" ht="22.5" customHeight="1">
      <c r="B12" s="25">
        <v>6.0</v>
      </c>
      <c r="C12" s="25">
        <f t="array" ref="C12:E12">MMULT(C11:E11,transition)</f>
        <v>531.441</v>
      </c>
      <c r="D12" s="25">
        <v>283.43519999999995</v>
      </c>
      <c r="E12" s="25">
        <v>185.1238</v>
      </c>
    </row>
    <row r="13" ht="22.5" customHeight="1">
      <c r="B13" s="25">
        <v>7.0</v>
      </c>
      <c r="C13" s="25">
        <f t="array" ref="C13:E13">MMULT(C12:E12,transition)</f>
        <v>478.2969</v>
      </c>
      <c r="D13" s="25">
        <v>297.60695999999996</v>
      </c>
      <c r="E13" s="25">
        <v>224.09614</v>
      </c>
    </row>
    <row r="14" ht="22.5" customHeight="1">
      <c r="B14" s="25">
        <v>8.0</v>
      </c>
      <c r="C14" s="25">
        <f t="array" ref="C14:E14">MMULT(C13:E13,transition)</f>
        <v>430.46721</v>
      </c>
      <c r="D14" s="25">
        <v>306.110016</v>
      </c>
      <c r="E14" s="25">
        <v>263.422774</v>
      </c>
    </row>
    <row r="15" ht="22.5" customHeight="1">
      <c r="B15" s="25">
        <v>9.0</v>
      </c>
      <c r="C15" s="25">
        <f t="array" ref="C15:E15">MMULT(C14:E14,transition)</f>
        <v>387.420489</v>
      </c>
      <c r="D15" s="25">
        <v>309.9363912</v>
      </c>
      <c r="E15" s="25">
        <v>302.6431198</v>
      </c>
    </row>
    <row r="16" ht="22.5" customHeight="1">
      <c r="B16" s="25">
        <v>10.0</v>
      </c>
      <c r="C16" s="25">
        <f t="array" ref="C16:E16">MMULT(C15:E15,transition)</f>
        <v>348.6784401</v>
      </c>
      <c r="D16" s="25">
        <v>309.9363912</v>
      </c>
      <c r="E16" s="25">
        <v>341.3851687</v>
      </c>
    </row>
    <row r="17" ht="22.5" customHeight="1">
      <c r="B17" s="25">
        <v>11.0</v>
      </c>
      <c r="C17" s="25">
        <f t="array" ref="C17:E17">MMULT(C16:E16,transition)</f>
        <v>313.8105961</v>
      </c>
      <c r="D17" s="25">
        <v>306.837027288</v>
      </c>
      <c r="E17" s="25">
        <v>379.352376622</v>
      </c>
    </row>
    <row r="18" ht="22.5" customHeight="1">
      <c r="B18" s="25">
        <v>12.0</v>
      </c>
      <c r="C18" s="25">
        <f t="array" ref="C18:E18">MMULT(C17:E17,transition)</f>
        <v>282.4295365</v>
      </c>
      <c r="D18" s="25">
        <v>301.2581722464</v>
      </c>
      <c r="E18" s="25">
        <v>416.3122912726</v>
      </c>
    </row>
    <row r="19" ht="22.5" customHeight="1">
      <c r="B19" s="25">
        <v>13.0</v>
      </c>
      <c r="C19" s="25">
        <f t="array" ref="C19:E19">MMULT(C18:E18,transition)</f>
        <v>254.1865828</v>
      </c>
      <c r="D19" s="25">
        <v>293.72671794024</v>
      </c>
      <c r="E19" s="25">
        <v>452.08669922686005</v>
      </c>
    </row>
    <row r="20" ht="22.5" customHeight="1">
      <c r="B20" s="25">
        <v>14.0</v>
      </c>
      <c r="C20" s="25">
        <f t="array" ref="C20:E20">MMULT(C19:E19,transition)</f>
        <v>228.7679245</v>
      </c>
      <c r="D20" s="25">
        <v>284.68897277284805</v>
      </c>
      <c r="E20" s="25">
        <v>486.54310267754204</v>
      </c>
    </row>
    <row r="21" ht="22.5" customHeight="1">
      <c r="B21" s="25">
        <v>15.0</v>
      </c>
      <c r="C21" s="25">
        <f t="array" ref="C21:E21">MMULT(C20:E20,transition)</f>
        <v>205.8911321</v>
      </c>
      <c r="D21" s="25">
        <v>274.52150945953207</v>
      </c>
      <c r="E21" s="25">
        <v>519.5873584458191</v>
      </c>
    </row>
    <row r="22" ht="22.5" customHeight="1">
      <c r="B22" s="25">
        <v>16.0</v>
      </c>
      <c r="C22" s="25">
        <f t="array" ref="C22:E22">MMULT(C21:E21,transition)</f>
        <v>185.3020189</v>
      </c>
      <c r="D22" s="25">
        <v>263.5406490811508</v>
      </c>
      <c r="E22" s="25">
        <v>551.1573320336653</v>
      </c>
    </row>
    <row r="23" ht="22.5" customHeight="1">
      <c r="B23" s="25">
        <v>17.0</v>
      </c>
      <c r="C23" s="25">
        <f t="array" ref="C23:E23">MMULT(C22:E22,transition)</f>
        <v>166.771817</v>
      </c>
      <c r="D23" s="25">
        <v>252.01074568385044</v>
      </c>
      <c r="E23" s="25">
        <v>581.217437319484</v>
      </c>
    </row>
    <row r="24" ht="22.5" customHeight="1">
      <c r="B24" s="25">
        <v>18.0</v>
      </c>
      <c r="C24" s="25">
        <f t="array" ref="C24:E24">MMULT(C23:E23,transition)</f>
        <v>150.0946353</v>
      </c>
      <c r="D24" s="25">
        <v>240.15141647519866</v>
      </c>
      <c r="E24" s="25">
        <v>609.7539482278024</v>
      </c>
    </row>
    <row r="25" ht="22.5" customHeight="1">
      <c r="B25" s="25">
        <v>19.0</v>
      </c>
      <c r="C25" s="25">
        <f t="array" ref="C25:E25">MMULT(C24:E24,transition)</f>
        <v>135.0851718</v>
      </c>
      <c r="D25" s="25">
        <v>228.14384565143874</v>
      </c>
      <c r="E25" s="25">
        <v>636.7709825812623</v>
      </c>
    </row>
    <row r="26" ht="22.5" customHeight="1">
      <c r="B26" s="25">
        <v>20.0</v>
      </c>
      <c r="C26" s="25">
        <f t="array" ref="C26:E26">MMULT(C25:E25,transition)</f>
        <v>121.5766546</v>
      </c>
      <c r="D26" s="25">
        <v>216.1362748276788</v>
      </c>
      <c r="E26" s="25">
        <v>662.2870705817521</v>
      </c>
    </row>
    <row r="49">
      <c r="H49" s="26"/>
    </row>
  </sheetData>
  <mergeCells count="1">
    <mergeCell ref="C2:E2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45.13"/>
    <col customWidth="1" min="4" max="4" width="47.75"/>
    <col customWidth="1" min="7" max="7" width="42.38"/>
    <col customWidth="1" min="8" max="8" width="32.25"/>
  </cols>
  <sheetData>
    <row r="2">
      <c r="B2" s="27" t="s">
        <v>22</v>
      </c>
    </row>
    <row r="4">
      <c r="B4" s="28" t="s">
        <v>23</v>
      </c>
      <c r="C4" s="28" t="s">
        <v>24</v>
      </c>
      <c r="D4" s="28" t="s">
        <v>25</v>
      </c>
    </row>
    <row r="5">
      <c r="B5" s="29"/>
      <c r="C5" s="29"/>
      <c r="D5" s="29"/>
    </row>
    <row r="6">
      <c r="B6" s="30" t="s">
        <v>8</v>
      </c>
      <c r="C6" s="31">
        <v>800.0</v>
      </c>
      <c r="D6" s="31">
        <v>0.9</v>
      </c>
      <c r="G6" s="27" t="s">
        <v>26</v>
      </c>
    </row>
    <row r="7">
      <c r="B7" s="30" t="s">
        <v>9</v>
      </c>
      <c r="C7" s="31">
        <v>5000.0</v>
      </c>
      <c r="D7" s="31">
        <v>0.6</v>
      </c>
      <c r="G7" s="27" t="s">
        <v>27</v>
      </c>
    </row>
    <row r="8">
      <c r="B8" s="30" t="s">
        <v>10</v>
      </c>
      <c r="C8" s="31">
        <v>0.0</v>
      </c>
      <c r="D8" s="31">
        <v>0.0</v>
      </c>
    </row>
    <row r="10" ht="22.5" customHeight="1">
      <c r="B10" s="32" t="s">
        <v>28</v>
      </c>
      <c r="C10" s="32" t="s">
        <v>29</v>
      </c>
      <c r="D10" s="32" t="s">
        <v>30</v>
      </c>
      <c r="E10" s="12"/>
    </row>
    <row r="11" ht="22.5" customHeight="1">
      <c r="B11" s="33"/>
      <c r="C11" s="33"/>
      <c r="D11" s="33"/>
    </row>
    <row r="12" ht="22.5" customHeight="1">
      <c r="B12" s="33">
        <f t="array" ref="B12:B31">SEQUENCE(20,1)</f>
        <v>1</v>
      </c>
      <c r="C12" s="33">
        <f t="array" ref="C12">MMULT('Markov trace'!C7:E7,Costmatrix)</f>
        <v>1120000</v>
      </c>
      <c r="D12" s="33">
        <f t="array" ref="D12">MMULT('Markov trace'!C7:E7,qualy)</f>
        <v>858</v>
      </c>
      <c r="E12" s="34" t="str">
        <f>E1</f>
        <v/>
      </c>
    </row>
    <row r="13" ht="22.5" customHeight="1">
      <c r="B13" s="33">
        <v>2.0</v>
      </c>
      <c r="C13" s="33">
        <f t="array" ref="C13">MMULT('Markov trace'!C8:E8,Costmatrix)</f>
        <v>1368000</v>
      </c>
      <c r="D13" s="33">
        <f t="array" ref="D13">MMULT('Markov trace'!C8:E8,qualy)</f>
        <v>815.4</v>
      </c>
      <c r="G13" s="35" t="s">
        <v>31</v>
      </c>
      <c r="H13" s="36"/>
      <c r="I13" s="37" t="s">
        <v>32</v>
      </c>
      <c r="J13" s="38"/>
    </row>
    <row r="14" ht="22.5" customHeight="1">
      <c r="B14" s="33">
        <v>3.0</v>
      </c>
      <c r="C14" s="33">
        <f t="array" ref="C14">MMULT('Markov trace'!C9:E9,Costmatrix)</f>
        <v>1555200</v>
      </c>
      <c r="D14" s="33">
        <f t="array" ref="D14">MMULT('Markov trace'!C9:E9,qualy)</f>
        <v>772.74</v>
      </c>
      <c r="G14" s="39">
        <f>D33/Inputs!D4</f>
        <v>10.16452527</v>
      </c>
      <c r="H14" s="36"/>
      <c r="I14" s="40" t="s">
        <v>33</v>
      </c>
    </row>
    <row r="15" ht="22.5" customHeight="1">
      <c r="B15" s="33">
        <v>4.0</v>
      </c>
      <c r="C15" s="33">
        <f t="array" ref="C15">MMULT('Markov trace'!C10:E10,Costmatrix)</f>
        <v>1691280</v>
      </c>
      <c r="D15" s="33">
        <f t="array" ref="D15">MMULT('Markov trace'!C10:E10,qualy)</f>
        <v>730.458</v>
      </c>
    </row>
    <row r="16" ht="22.5" customHeight="1">
      <c r="B16" s="33">
        <v>5.0</v>
      </c>
      <c r="C16" s="33">
        <f t="array" ref="C16">MMULT('Markov trace'!C11:E11,Costmatrix)</f>
        <v>1784592</v>
      </c>
      <c r="D16" s="33">
        <f t="array" ref="D16">MMULT('Markov trace'!C11:E11,qualy)</f>
        <v>688.905</v>
      </c>
      <c r="G16" s="41" t="s">
        <v>34</v>
      </c>
    </row>
    <row r="17" ht="22.5" customHeight="1">
      <c r="B17" s="33">
        <v>6.0</v>
      </c>
      <c r="C17" s="33">
        <f t="array" ref="C17">MMULT('Markov trace'!C12:E12,Costmatrix)</f>
        <v>1842328.8</v>
      </c>
      <c r="D17" s="33">
        <f t="array" ref="D17">MMULT('Markov trace'!C12:E12,qualy)</f>
        <v>648.35802</v>
      </c>
      <c r="G17" s="42">
        <f>C33/Inputs!D4</f>
        <v>31735.44954</v>
      </c>
    </row>
    <row r="18" ht="22.5" customHeight="1">
      <c r="B18" s="33">
        <v>7.0</v>
      </c>
      <c r="C18" s="33">
        <f t="array" ref="C18">MMULT('Markov trace'!C13:E13,Costmatrix)</f>
        <v>1870672.32</v>
      </c>
      <c r="D18" s="33">
        <f t="array" ref="D18">MMULT('Markov trace'!C13:E13,qualy)</f>
        <v>609.031386</v>
      </c>
    </row>
    <row r="19" ht="22.5" customHeight="1">
      <c r="B19" s="33">
        <v>8.0</v>
      </c>
      <c r="C19" s="33">
        <f t="array" ref="C19">MMULT('Markov trace'!C14:E14,Costmatrix)</f>
        <v>1874923.848</v>
      </c>
      <c r="D19" s="33">
        <f t="array" ref="D19">MMULT('Markov trace'!C14:E14,qualy)</f>
        <v>571.0864986</v>
      </c>
    </row>
    <row r="20" ht="22.5" customHeight="1">
      <c r="B20" s="33">
        <v>9.0</v>
      </c>
      <c r="C20" s="33">
        <f t="array" ref="C20">MMULT('Markov trace'!C15:E15,Costmatrix)</f>
        <v>1859618.347</v>
      </c>
      <c r="D20" s="33">
        <f t="array" ref="D20">MMULT('Markov trace'!C15:E15,qualy)</f>
        <v>534.6402748</v>
      </c>
    </row>
    <row r="21" ht="22.5" customHeight="1">
      <c r="B21" s="33">
        <v>10.0</v>
      </c>
      <c r="C21" s="33">
        <f t="array" ref="C21">MMULT('Markov trace'!C16:E16,Costmatrix)</f>
        <v>1828624.708</v>
      </c>
      <c r="D21" s="33">
        <f t="array" ref="D21">MMULT('Markov trace'!C16:E16,qualy)</f>
        <v>499.7724308</v>
      </c>
    </row>
    <row r="22" ht="22.5" customHeight="1">
      <c r="B22" s="33">
        <v>11.0</v>
      </c>
      <c r="C22" s="33">
        <f t="array" ref="C22">MMULT('Markov trace'!C17:E17,Costmatrix)</f>
        <v>1785233.613</v>
      </c>
      <c r="D22" s="33">
        <f t="array" ref="D22">MMULT('Markov trace'!C17:E17,qualy)</f>
        <v>466.5317529</v>
      </c>
    </row>
    <row r="23" ht="22.5" customHeight="1">
      <c r="B23" s="33">
        <v>12.0</v>
      </c>
      <c r="C23" s="33">
        <f t="array" ref="C23">MMULT('Markov trace'!C18:E18,Costmatrix)</f>
        <v>1732234.49</v>
      </c>
      <c r="D23" s="33">
        <f t="array" ref="D23">MMULT('Markov trace'!C18:E18,qualy)</f>
        <v>434.9414862</v>
      </c>
    </row>
    <row r="24" ht="22.5" customHeight="1">
      <c r="B24" s="33">
        <v>13.0</v>
      </c>
      <c r="C24" s="33">
        <f t="array" ref="C24">MMULT('Markov trace'!C19:E19,Costmatrix)</f>
        <v>1671982.856</v>
      </c>
      <c r="D24" s="33">
        <f t="array" ref="D24">MMULT('Markov trace'!C19:E19,qualy)</f>
        <v>405.0039553</v>
      </c>
    </row>
    <row r="25" ht="22.5" customHeight="1">
      <c r="B25" s="33">
        <v>14.0</v>
      </c>
      <c r="C25" s="33">
        <f t="array" ref="C25">MMULT('Markov trace'!C20:E20,Costmatrix)</f>
        <v>1606459.204</v>
      </c>
      <c r="D25" s="33">
        <f t="array" ref="D25">MMULT('Markov trace'!C20:E20,qualy)</f>
        <v>376.7045158</v>
      </c>
    </row>
    <row r="26" ht="22.5" customHeight="1">
      <c r="B26" s="33">
        <v>15.0</v>
      </c>
      <c r="C26" s="33">
        <f t="array" ref="C26">MMULT('Markov trace'!C21:E21,Costmatrix)</f>
        <v>1537320.453</v>
      </c>
      <c r="D26" s="33">
        <f t="array" ref="D26">MMULT('Markov trace'!C21:E21,qualy)</f>
        <v>350.0149246</v>
      </c>
    </row>
    <row r="27" ht="22.5" customHeight="1">
      <c r="B27" s="33">
        <v>16.0</v>
      </c>
      <c r="C27" s="33">
        <f t="array" ref="C27">MMULT('Markov trace'!C22:E22,Costmatrix)</f>
        <v>1465944.861</v>
      </c>
      <c r="D27" s="33">
        <f t="array" ref="D27">MMULT('Markov trace'!C22:E22,qualy)</f>
        <v>324.8962064</v>
      </c>
    </row>
    <row r="28" ht="22.5" customHeight="1">
      <c r="B28" s="33">
        <v>17.0</v>
      </c>
      <c r="C28" s="33">
        <f t="array" ref="C28">MMULT('Markov trace'!C23:E23,Costmatrix)</f>
        <v>1393471.182</v>
      </c>
      <c r="D28" s="33">
        <f t="array" ref="D28">MMULT('Markov trace'!C23:E23,qualy)</f>
        <v>301.3010827</v>
      </c>
    </row>
    <row r="29" ht="22.5" customHeight="1">
      <c r="B29" s="33">
        <v>18.0</v>
      </c>
      <c r="C29" s="33">
        <f t="array" ref="C29">MMULT('Markov trace'!C24:E24,Costmatrix)</f>
        <v>1320832.791</v>
      </c>
      <c r="D29" s="33">
        <f t="array" ref="D29">MMULT('Markov trace'!C24:E24,qualy)</f>
        <v>279.1760217</v>
      </c>
    </row>
    <row r="30" ht="22.5" customHeight="1">
      <c r="B30" s="33">
        <v>19.0</v>
      </c>
      <c r="C30" s="33">
        <f t="array" ref="C30">MMULT('Markov trace'!C25:E25,Costmatrix)</f>
        <v>1248787.366</v>
      </c>
      <c r="D30" s="33">
        <f t="array" ref="D30">MMULT('Markov trace'!C25:E25,qualy)</f>
        <v>258.462962</v>
      </c>
    </row>
    <row r="31" ht="22.5" customHeight="1">
      <c r="B31" s="33">
        <v>20.0</v>
      </c>
      <c r="C31" s="33">
        <f t="array" ref="C31">MMULT('Markov trace'!C26:E26,Costmatrix)</f>
        <v>1177942.698</v>
      </c>
      <c r="D31" s="33">
        <f t="array" ref="D31">MMULT('Markov trace'!C26:E26,qualy)</f>
        <v>239.100754</v>
      </c>
    </row>
    <row r="33">
      <c r="B33" s="43" t="s">
        <v>35</v>
      </c>
      <c r="C33" s="44">
        <f t="shared" ref="C33:D33" si="1">SUM(C12:C31)</f>
        <v>31735449.54</v>
      </c>
      <c r="D33" s="44">
        <f t="shared" si="1"/>
        <v>10164.52527</v>
      </c>
      <c r="E33" s="45"/>
    </row>
  </sheetData>
  <mergeCells count="5">
    <mergeCell ref="G13:H13"/>
    <mergeCell ref="G14:H14"/>
    <mergeCell ref="I14:U14"/>
    <mergeCell ref="G16:H16"/>
    <mergeCell ref="G17:H1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22.75"/>
    <col customWidth="1" min="4" max="4" width="33.5"/>
    <col customWidth="1" min="6" max="6" width="27.25"/>
    <col customWidth="1" min="8" max="8" width="16.25"/>
    <col customWidth="1" min="9" max="9" width="39.0"/>
    <col customWidth="1" min="10" max="10" width="29.0"/>
  </cols>
  <sheetData>
    <row r="4">
      <c r="B4" s="28" t="s">
        <v>36</v>
      </c>
      <c r="C4" s="28" t="s">
        <v>37</v>
      </c>
      <c r="D4" s="28" t="s">
        <v>38</v>
      </c>
      <c r="H4" s="46" t="s">
        <v>39</v>
      </c>
    </row>
    <row r="6">
      <c r="B6" s="47" t="s">
        <v>40</v>
      </c>
      <c r="C6" s="48">
        <f>G43</f>
        <v>40200</v>
      </c>
      <c r="D6" s="48">
        <f>Cost_qualy!G14</f>
        <v>10.16452527</v>
      </c>
      <c r="H6" s="49" t="s">
        <v>41</v>
      </c>
    </row>
    <row r="7">
      <c r="B7" s="47" t="s">
        <v>42</v>
      </c>
      <c r="C7" s="48">
        <f>G34</f>
        <v>62200</v>
      </c>
      <c r="D7" s="48">
        <f>G26</f>
        <v>11.1</v>
      </c>
    </row>
    <row r="11">
      <c r="B11" s="50" t="s">
        <v>43</v>
      </c>
    </row>
    <row r="12">
      <c r="B12" s="51"/>
      <c r="F12" s="52" t="s">
        <v>44</v>
      </c>
    </row>
    <row r="13">
      <c r="B13" s="53"/>
    </row>
    <row r="14">
      <c r="B14" s="51"/>
      <c r="F14" s="54" t="s">
        <v>45</v>
      </c>
      <c r="H14" s="26">
        <f>sum('Markov trace'!C6:C26)</f>
        <v>8905.810109</v>
      </c>
      <c r="I14" s="54" t="s">
        <v>46</v>
      </c>
    </row>
    <row r="15">
      <c r="B15" s="53"/>
      <c r="H15" s="54" t="s">
        <v>47</v>
      </c>
      <c r="I15" s="26"/>
    </row>
    <row r="16">
      <c r="B16" s="51"/>
      <c r="H16" s="26">
        <f>H14/Inputs!D4</f>
        <v>8.905810109</v>
      </c>
      <c r="I16" s="54" t="s">
        <v>48</v>
      </c>
      <c r="J16" s="12">
        <v>9.0</v>
      </c>
    </row>
    <row r="19">
      <c r="F19" s="54" t="s">
        <v>49</v>
      </c>
      <c r="H19" s="26">
        <f>sum('Markov trace'!D6:D26)</f>
        <v>5082.16029</v>
      </c>
      <c r="I19" s="54" t="s">
        <v>46</v>
      </c>
    </row>
    <row r="20">
      <c r="H20" s="54" t="s">
        <v>50</v>
      </c>
      <c r="I20" s="26"/>
    </row>
    <row r="21">
      <c r="H21" s="26">
        <f>H19/Inputs!D4</f>
        <v>5.08216029</v>
      </c>
      <c r="I21" s="54" t="s">
        <v>51</v>
      </c>
      <c r="J21" s="12">
        <v>5.0</v>
      </c>
    </row>
    <row r="24">
      <c r="F24" s="55" t="s">
        <v>52</v>
      </c>
    </row>
    <row r="26">
      <c r="F26" s="54" t="s">
        <v>53</v>
      </c>
      <c r="G26" s="26">
        <f>(J16*Inputs!E13 +J21*Inputs!E14)</f>
        <v>11.1</v>
      </c>
    </row>
    <row r="29">
      <c r="F29" s="55" t="s">
        <v>54</v>
      </c>
    </row>
    <row r="31">
      <c r="F31" s="54" t="s">
        <v>55</v>
      </c>
      <c r="G31" s="26">
        <f>Inputs!D18*Inputs!D6</f>
        <v>30000</v>
      </c>
    </row>
    <row r="32">
      <c r="F32" s="54" t="s">
        <v>56</v>
      </c>
      <c r="G32" s="26">
        <f>J16*Inputs!D13</f>
        <v>7200</v>
      </c>
    </row>
    <row r="33">
      <c r="F33" s="54" t="s">
        <v>57</v>
      </c>
      <c r="G33" s="26">
        <f>J21*Inputs!D14</f>
        <v>25000</v>
      </c>
    </row>
    <row r="34">
      <c r="F34" s="54" t="s">
        <v>58</v>
      </c>
      <c r="G34" s="26">
        <f>SUM(G31:G33)</f>
        <v>62200</v>
      </c>
    </row>
    <row r="38">
      <c r="F38" s="55" t="s">
        <v>59</v>
      </c>
    </row>
    <row r="40">
      <c r="F40" s="54" t="s">
        <v>55</v>
      </c>
      <c r="G40" s="26">
        <f>Inputs!D19*20</f>
        <v>8000</v>
      </c>
    </row>
    <row r="41">
      <c r="F41" s="54" t="s">
        <v>56</v>
      </c>
      <c r="G41" s="26">
        <f>J16*Inputs!D13</f>
        <v>7200</v>
      </c>
    </row>
    <row r="42">
      <c r="F42" s="54" t="s">
        <v>57</v>
      </c>
      <c r="G42" s="26">
        <f>J21*Inputs!D14</f>
        <v>25000</v>
      </c>
    </row>
    <row r="43">
      <c r="F43" s="54" t="s">
        <v>58</v>
      </c>
      <c r="G43" s="26">
        <f>SUM(G40:G42)</f>
        <v>40200</v>
      </c>
    </row>
  </sheetData>
  <mergeCells count="8">
    <mergeCell ref="H4:I4"/>
    <mergeCell ref="H6:J6"/>
    <mergeCell ref="B11:D11"/>
    <mergeCell ref="B12:D12"/>
    <mergeCell ref="B13:D13"/>
    <mergeCell ref="B14:D14"/>
    <mergeCell ref="B15:D15"/>
    <mergeCell ref="B16:D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5.13"/>
    <col customWidth="1" min="16" max="16" width="30.75"/>
  </cols>
  <sheetData>
    <row r="1">
      <c r="A1" s="12" t="s">
        <v>60</v>
      </c>
    </row>
    <row r="3">
      <c r="B3" s="56" t="s">
        <v>61</v>
      </c>
    </row>
    <row r="6">
      <c r="B6" s="4" t="s">
        <v>62</v>
      </c>
      <c r="C6" s="57">
        <f>'new therapy result'!C7-'new therapy result'!C6</f>
        <v>22000</v>
      </c>
    </row>
    <row r="8">
      <c r="B8" s="4" t="s">
        <v>63</v>
      </c>
      <c r="C8" s="57">
        <f>'new therapy result'!D7-'new therapy result'!D6</f>
        <v>0.9354747283</v>
      </c>
    </row>
    <row r="12">
      <c r="B12" s="58" t="s">
        <v>64</v>
      </c>
      <c r="C12" s="59"/>
      <c r="D12" s="59"/>
      <c r="E12" s="60"/>
      <c r="F12" s="60"/>
    </row>
    <row r="15">
      <c r="B15" s="61" t="s">
        <v>65</v>
      </c>
      <c r="C15" s="62">
        <f>C6/C8</f>
        <v>23517.47122</v>
      </c>
    </row>
    <row r="18">
      <c r="B18" s="63" t="s">
        <v>66</v>
      </c>
      <c r="C18" s="64"/>
    </row>
    <row r="20">
      <c r="B20" s="65" t="s">
        <v>67</v>
      </c>
    </row>
    <row r="21">
      <c r="B21" s="66"/>
    </row>
    <row r="22">
      <c r="B22" s="67" t="s">
        <v>68</v>
      </c>
    </row>
    <row r="23">
      <c r="B23" s="66"/>
    </row>
    <row r="24">
      <c r="B24" s="65"/>
    </row>
    <row r="25">
      <c r="B25" s="66"/>
    </row>
    <row r="26">
      <c r="B26" s="65"/>
    </row>
    <row r="27">
      <c r="B27" s="66"/>
    </row>
    <row r="28">
      <c r="B28" s="65"/>
    </row>
    <row r="29">
      <c r="B29" s="66"/>
    </row>
    <row r="30">
      <c r="B30" s="65" t="s">
        <v>69</v>
      </c>
    </row>
    <row r="31">
      <c r="B31" s="66"/>
    </row>
    <row r="34">
      <c r="B34" s="4" t="s">
        <v>70</v>
      </c>
    </row>
    <row r="36">
      <c r="B36" s="68" t="s">
        <v>71</v>
      </c>
    </row>
    <row r="37">
      <c r="B37" s="69"/>
    </row>
    <row r="38">
      <c r="B38" s="68" t="s">
        <v>72</v>
      </c>
    </row>
    <row r="40">
      <c r="B40" s="63" t="s">
        <v>73</v>
      </c>
      <c r="C40" s="70"/>
      <c r="D40" s="64"/>
      <c r="E40" s="64"/>
    </row>
  </sheetData>
  <mergeCells count="2">
    <mergeCell ref="B3:C3"/>
    <mergeCell ref="B22:P22"/>
  </mergeCells>
  <drawing r:id="rId1"/>
</worksheet>
</file>